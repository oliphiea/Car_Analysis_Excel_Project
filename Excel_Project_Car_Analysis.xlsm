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Github Projects\Excel\"/>
    </mc:Choice>
  </mc:AlternateContent>
  <xr:revisionPtr revIDLastSave="0" documentId="13_ncr:1_{74586352-C6EA-4A2D-93B6-E4412206B959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Dataset" sheetId="1" r:id="rId1"/>
    <sheet name="Task_1" sheetId="15" r:id="rId2"/>
    <sheet name="Task_2" sheetId="18" r:id="rId3"/>
    <sheet name="Task_3" sheetId="16" r:id="rId4"/>
    <sheet name="Task_4" sheetId="19" r:id="rId5"/>
    <sheet name="Task_5" sheetId="20" r:id="rId6"/>
  </sheets>
  <functionGroups builtInGroupCount="19"/>
  <definedNames>
    <definedName name="_xlnm._FilterDatabase" localSheetId="0" hidden="1">Dataset!$H$1:$H$40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8" l="1"/>
  <c r="D30" i="18"/>
  <c r="E30" i="18"/>
  <c r="F30" i="18"/>
  <c r="C29" i="18"/>
  <c r="D29" i="18"/>
  <c r="E29" i="18"/>
  <c r="F29" i="18"/>
  <c r="D28" i="18"/>
  <c r="E28" i="18"/>
  <c r="F28" i="18"/>
  <c r="C28" i="18"/>
  <c r="B28" i="18"/>
  <c r="B29" i="18" s="1"/>
  <c r="B30" i="18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D22" i="19"/>
</calcChain>
</file>

<file path=xl/sharedStrings.xml><?xml version="1.0" encoding="utf-8"?>
<sst xmlns="http://schemas.openxmlformats.org/spreadsheetml/2006/main" count="397" uniqueCount="180">
  <si>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</si>
  <si>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</si>
  <si>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</si>
  <si>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</si>
  <si>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</si>
  <si>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</si>
  <si>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</si>
  <si>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</si>
  <si>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</si>
  <si>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</si>
  <si>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</si>
  <si>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</si>
  <si>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</si>
  <si>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</si>
  <si>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</si>
  <si>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</si>
  <si>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</si>
  <si>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</si>
  <si>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</si>
  <si>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</si>
  <si>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</si>
  <si>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</si>
  <si>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</si>
  <si>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</si>
  <si>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</si>
  <si>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</si>
  <si>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</si>
  <si>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</si>
  <si>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</si>
  <si>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</si>
  <si>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</si>
  <si>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</si>
  <si>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</si>
  <si>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</si>
  <si>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</si>
  <si>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</si>
  <si>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</si>
  <si>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</si>
  <si>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</si>
  <si>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</si>
  <si>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</si>
  <si>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</si>
  <si>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</si>
  <si>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</si>
  <si>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</si>
  <si>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</si>
  <si>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</si>
  <si>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</si>
  <si>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</si>
  <si>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</si>
  <si>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</si>
  <si>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</si>
  <si>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</si>
  <si>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</si>
  <si>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</si>
  <si>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</si>
  <si>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</si>
  <si>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</si>
  <si>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</si>
  <si>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</si>
  <si>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</si>
  <si>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</si>
  <si>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</si>
  <si>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</si>
  <si>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</si>
  <si>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</si>
  <si>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</si>
  <si>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</si>
  <si>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</si>
  <si>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</si>
  <si>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</si>
  <si>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</si>
  <si>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</si>
  <si>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</si>
  <si>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</si>
  <si>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</si>
  <si>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</si>
  <si>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</si>
  <si>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</si>
  <si>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</si>
  <si>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</si>
  <si>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</si>
  <si>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</si>
  <si>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</si>
  <si>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</si>
  <si>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</si>
  <si>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</si>
  <si>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</si>
  <si>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</si>
  <si>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</si>
  <si>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</si>
  <si>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</si>
  <si>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</si>
  <si>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</si>
  <si>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</si>
  <si>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</si>
  <si>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</si>
  <si>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</si>
  <si>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</si>
  <si>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</si>
  <si>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</si>
  <si>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</si>
  <si>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</si>
  <si>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</si>
  <si>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</si>
  <si>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</si>
  <si>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</si>
  <si>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</si>
  <si>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</si>
  <si>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</si>
  <si>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</si>
  <si>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</si>
  <si>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</si>
  <si>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</si>
  <si>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</si>
  <si>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</si>
  <si>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</si>
  <si>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</si>
  <si>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</si>
  <si>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</si>
  <si>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</si>
  <si>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</si>
  <si>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</si>
  <si>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</si>
  <si>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</si>
  <si>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</si>
  <si>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</si>
  <si>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</si>
  <si>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</si>
  <si>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</si>
  <si>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</si>
  <si>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</si>
  <si>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</si>
  <si>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</si>
  <si>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</si>
  <si>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</si>
  <si>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</si>
  <si>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</si>
  <si>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</si>
  <si>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</si>
  <si>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</si>
  <si>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</si>
  <si>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</si>
  <si>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</si>
  <si>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</si>
  <si>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</si>
  <si>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</si>
  <si>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Explanation:</t>
  </si>
  <si>
    <t>Tablet</t>
  </si>
  <si>
    <t>Camera</t>
  </si>
  <si>
    <t>Printer</t>
  </si>
  <si>
    <t>Keyboard</t>
  </si>
  <si>
    <t>Mouse</t>
  </si>
  <si>
    <t>Sum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</si>
  <si>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</si>
  <si>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</si>
  <si>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</si>
  <si>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</si>
  <si>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</si>
  <si>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</si>
  <si>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</si>
  <si>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</si>
  <si>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</si>
  <si>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</si>
  <si>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Text to Columns Tool in Data Tab</t>
  </si>
  <si>
    <t xml:space="preserve">2. Go to Data Tab then go to Text to columns tool. </t>
  </si>
  <si>
    <t xml:space="preserve">3. Select Delimiter and click Next. </t>
  </si>
  <si>
    <t xml:space="preserve">1. Select the cell that contains the text  which you want to split.  </t>
  </si>
  <si>
    <t>5. Select the location where you want the split to appear.</t>
  </si>
  <si>
    <t>4. Since we want to split the data with hyphen(-) delimeter and hyphen was not in given list so I selected as other and specified " - " in textbox and clicked on Next.</t>
  </si>
  <si>
    <t>Ctrl + H and SUM()</t>
  </si>
  <si>
    <t>Click Ctrl + H which gives and fins and replace prompt box since we want to replace #N/A with 20 so in Find what type #N/A and Replace with value as 20 and click Replace All. After replacing all N/A values with 20 then summing all the sales values by using =SUM(C12:C21)</t>
  </si>
  <si>
    <t>INDEX($B$10:$J$18,MATCH(VLOOKUP(A23,$M$10:$N$18,2),$A$10:$A$18,0),MATCH(VLOOKUP(B23,$M$10:$N$18,2),$B$9:$J$9,0))</t>
  </si>
  <si>
    <t xml:space="preserve">1. First it will search for name from Table_B by taking ID  from Table_C </t>
  </si>
  <si>
    <t>I have used nested match and vlookup function and then used index function to  fetch the index position</t>
  </si>
  <si>
    <t>2. After fetching the names from Table_B it will go and match that names in Table_A</t>
  </si>
  <si>
    <t>3. By using index function it will give the value of that index position which was found in match function</t>
  </si>
  <si>
    <t>SUMIF(H2:H40,"&gt;"&amp;20)</t>
  </si>
  <si>
    <t>All the tasks from this sheet is done in dataset sheet</t>
  </si>
  <si>
    <t>New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</si>
</sst>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3" fillId="0" borderId="0" xfId="0" applyNumberFormat="1" applyFont="1"/>
    <xf numFmtId="0" fontId="7" fillId="6" borderId="0" xfId="0" applyFont="1" applyFill="1" applyBorder="1"/>
    <xf numFmtId="0" fontId="3" fillId="0" borderId="0" xfId="0" applyFont="1" applyBorder="1"/>
    <xf numFmtId="164" fontId="3" fillId="0" borderId="5" xfId="0" applyNumberFormat="1" applyFont="1" applyBorder="1"/>
    <xf numFmtId="0" fontId="4" fillId="6" borderId="0" xfId="0" applyFont="1" applyFill="1" applyBorder="1"/>
    <xf numFmtId="0" fontId="15" fillId="0" borderId="0" xfId="0" applyFont="1" applyAlignment="1">
      <alignment horizontal="left"/>
    </xf>
    <xf numFmtId="0" fontId="3" fillId="0" borderId="0" xfId="0" applyFont="1" applyAlignment="1">
      <alignment horizontal="left" vertical="top" wrapText="1"/>
    </xf>
    <xf numFmtId="0" fontId="8" fillId="0" borderId="0" xfId="0" applyFont="1" applyAlignment="1">
      <alignment horizontal="left"/>
    </xf>
    <xf numFmtId="0" fontId="14" fillId="7" borderId="0" xfId="0" applyFont="1" applyFill="1"/>
    <xf numFmtId="0" fontId="11" fillId="7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65"/>
  <sheetViews>
    <sheetView zoomScale="94" zoomScaleNormal="100" workbookViewId="0">
      <pane ySplit="1" topLeftCell="A2" activePane="bottomLeft" state="frozen"/>
      <selection pane="bottomLeft" activeCell="F20" sqref="F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39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39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39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39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39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39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39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39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39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39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39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39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39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39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39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39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39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39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39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39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39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39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39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39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39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39">
        <v>45162</v>
      </c>
    </row>
    <row r="44" spans="1:24" x14ac:dyDescent="0.3">
      <c r="Q44" s="41"/>
    </row>
    <row r="45" spans="1:24" x14ac:dyDescent="0.3">
      <c r="Q45" s="41"/>
    </row>
    <row r="46" spans="1:24" x14ac:dyDescent="0.3">
      <c r="Q46" s="41"/>
    </row>
    <row r="47" spans="1:24" x14ac:dyDescent="0.3">
      <c r="G47" s="41"/>
      <c r="H47" s="41"/>
      <c r="I47" s="41"/>
      <c r="J47" s="41"/>
      <c r="K47" s="41"/>
      <c r="Q47" s="41"/>
    </row>
    <row r="48" spans="1:24" x14ac:dyDescent="0.3">
      <c r="G48" s="43"/>
      <c r="H48" s="40"/>
      <c r="I48" s="40"/>
      <c r="J48" s="40"/>
      <c r="K48" s="40"/>
      <c r="Q48" s="41"/>
    </row>
    <row r="49" spans="7:17" x14ac:dyDescent="0.3">
      <c r="G49" s="42"/>
      <c r="H49" s="10"/>
      <c r="I49" s="42"/>
      <c r="J49" s="10"/>
      <c r="K49" s="10"/>
      <c r="Q49" s="41"/>
    </row>
    <row r="50" spans="7:17" x14ac:dyDescent="0.3">
      <c r="Q50" s="41"/>
    </row>
    <row r="51" spans="7:17" x14ac:dyDescent="0.3">
      <c r="Q51" s="41"/>
    </row>
    <row r="52" spans="7:17" x14ac:dyDescent="0.3">
      <c r="Q52" s="41"/>
    </row>
    <row r="53" spans="7:17" x14ac:dyDescent="0.3">
      <c r="Q53" s="41"/>
    </row>
    <row r="54" spans="7:17" x14ac:dyDescent="0.3">
      <c r="Q54" s="41"/>
    </row>
    <row r="55" spans="7:17" x14ac:dyDescent="0.3">
      <c r="Q55" s="41"/>
    </row>
    <row r="56" spans="7:17" x14ac:dyDescent="0.3">
      <c r="Q56" s="41"/>
    </row>
    <row r="57" spans="7:17" x14ac:dyDescent="0.3">
      <c r="Q57" s="41"/>
    </row>
    <row r="58" spans="7:17" x14ac:dyDescent="0.3">
      <c r="Q58" s="41"/>
    </row>
    <row r="59" spans="7:17" x14ac:dyDescent="0.3">
      <c r="Q59" s="41"/>
    </row>
    <row r="60" spans="7:17" x14ac:dyDescent="0.3">
      <c r="Q60" s="41"/>
    </row>
    <row r="61" spans="7:17" x14ac:dyDescent="0.3">
      <c r="Q61" s="41"/>
    </row>
    <row r="62" spans="7:17" x14ac:dyDescent="0.3">
      <c r="Q62" s="41"/>
    </row>
    <row r="63" spans="7:17" x14ac:dyDescent="0.3">
      <c r="Q63" s="41"/>
    </row>
    <row r="64" spans="7:17" x14ac:dyDescent="0.3">
      <c r="Q64" s="41"/>
    </row>
    <row r="65" spans="17:17" x14ac:dyDescent="0.3">
      <c r="Q65" s="41"/>
    </row>
  </sheetData>
  <conditionalFormatting sqref="A1:X40">
    <cfRule type="cellIs" dxfId="1" priority="3" operator="equal">
      <formula>-1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42" zoomScaleNormal="100" workbookViewId="0">
      <selection activeCell="B10" sqref="B1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8"/>
    </row>
    <row r="2" spans="1:5" x14ac:dyDescent="0.3">
      <c r="A2" s="2"/>
      <c r="B2" s="5" t="s">
        <v>178</v>
      </c>
      <c r="C2" s="2"/>
    </row>
    <row r="3" spans="1:5" x14ac:dyDescent="0.3">
      <c r="A3" s="6">
        <v>1</v>
      </c>
      <c r="B3" s="2" t="s">
        <v>107</v>
      </c>
      <c r="C3" s="2" t="s">
        <v>45</v>
      </c>
    </row>
    <row r="4" spans="1:5" x14ac:dyDescent="0.3">
      <c r="A4" s="6">
        <v>2</v>
      </c>
      <c r="B4" s="2" t="s">
        <v>46</v>
      </c>
      <c r="C4" s="2"/>
    </row>
    <row r="5" spans="1:5" x14ac:dyDescent="0.3">
      <c r="A5" s="6">
        <v>3</v>
      </c>
      <c r="B5" s="2" t="s">
        <v>104</v>
      </c>
      <c r="C5" s="47" t="s">
        <v>177</v>
      </c>
    </row>
    <row r="6" spans="1:5" x14ac:dyDescent="0.3">
      <c r="A6" s="6">
        <v>4</v>
      </c>
      <c r="B6" s="2" t="s">
        <v>106</v>
      </c>
      <c r="C6" s="2"/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J30"/>
  <sheetViews>
    <sheetView tabSelected="1" topLeftCell="A5" zoomScaleNormal="100" workbookViewId="0">
      <selection activeCell="D23" sqref="D2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6" customFormat="1" ht="21" x14ac:dyDescent="0.4">
      <c r="A1" s="37" t="s">
        <v>55</v>
      </c>
      <c r="B1" s="36" t="s">
        <v>157</v>
      </c>
    </row>
    <row r="2" spans="1:7" s="36" customFormat="1" ht="21" x14ac:dyDescent="0.4">
      <c r="B2" s="36" t="s">
        <v>154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155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4.4" x14ac:dyDescent="0.3">
      <c r="A7" s="7" t="s">
        <v>4</v>
      </c>
      <c r="B7" s="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10" ht="14.4" x14ac:dyDescent="0.3">
      <c r="A17" s="7" t="s">
        <v>22</v>
      </c>
      <c r="B17" s="2">
        <v>30.7</v>
      </c>
      <c r="C17" s="12">
        <v>30.7</v>
      </c>
      <c r="D17" s="12">
        <v>30.7</v>
      </c>
      <c r="E17" s="12">
        <v>30.7</v>
      </c>
      <c r="F17" s="8">
        <v>30.7</v>
      </c>
    </row>
    <row r="18" spans="1:10" ht="14.4" x14ac:dyDescent="0.3">
      <c r="A18" s="7" t="s">
        <v>23</v>
      </c>
      <c r="B18" s="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10" ht="14.4" x14ac:dyDescent="0.3">
      <c r="A19" s="7" t="s">
        <v>24</v>
      </c>
      <c r="B19" s="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10" ht="14.4" x14ac:dyDescent="0.3">
      <c r="A20" s="7" t="s">
        <v>28</v>
      </c>
      <c r="B20" s="2">
        <v>0</v>
      </c>
      <c r="C20" s="12">
        <v>0</v>
      </c>
      <c r="D20" s="12">
        <v>0</v>
      </c>
      <c r="E20" s="12">
        <v>0</v>
      </c>
      <c r="F20" s="8">
        <v>0</v>
      </c>
    </row>
    <row r="21" spans="1:10" ht="14.4" x14ac:dyDescent="0.3">
      <c r="A21" s="7" t="s">
        <v>57</v>
      </c>
      <c r="B21" s="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10" ht="14.4" x14ac:dyDescent="0.3">
      <c r="A22" s="7" t="s">
        <v>58</v>
      </c>
      <c r="B22" s="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10" ht="14.4" x14ac:dyDescent="0.3">
      <c r="A23" s="7" t="s">
        <v>31</v>
      </c>
      <c r="B23" s="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10" ht="14.4" x14ac:dyDescent="0.3">
      <c r="A24" s="7" t="s">
        <v>32</v>
      </c>
      <c r="B24" s="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10" ht="14.4" x14ac:dyDescent="0.3">
      <c r="A25" s="7" t="s">
        <v>34</v>
      </c>
      <c r="B25" s="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10" ht="14.4" x14ac:dyDescent="0.3">
      <c r="A26" s="7" t="s">
        <v>37</v>
      </c>
      <c r="B26" s="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10" ht="14.4" x14ac:dyDescent="0.3">
      <c r="A27" s="7" t="s">
        <v>39</v>
      </c>
      <c r="B27" s="1">
        <v>51.8</v>
      </c>
      <c r="C27" s="12">
        <v>156.4</v>
      </c>
      <c r="D27" s="12">
        <v>93.1</v>
      </c>
      <c r="E27" s="12">
        <v>188.1</v>
      </c>
      <c r="F27" s="8">
        <v>93.1</v>
      </c>
      <c r="I27" s="1"/>
      <c r="J27" s="1"/>
    </row>
    <row r="28" spans="1:10" ht="14.4" x14ac:dyDescent="0.3">
      <c r="A28" s="19" t="s">
        <v>82</v>
      </c>
      <c r="B28" s="32">
        <f>MIN(B6:B27)</f>
        <v>-1</v>
      </c>
      <c r="C28" s="32">
        <f>MIN(B6:B27)</f>
        <v>-1</v>
      </c>
      <c r="D28" s="32">
        <f t="shared" ref="D28" si="0">MIN(D6:D27)</f>
        <v>-1</v>
      </c>
      <c r="E28" s="32">
        <f t="shared" ref="E28:F28" si="1">MIN(D6:D27)</f>
        <v>-1</v>
      </c>
      <c r="F28" s="32">
        <f t="shared" ref="F28" si="2">MIN(F6:F27)</f>
        <v>-1</v>
      </c>
      <c r="H28" s="1"/>
      <c r="I28" s="1"/>
      <c r="J28" s="1"/>
    </row>
    <row r="29" spans="1:10" ht="14.4" x14ac:dyDescent="0.3">
      <c r="A29" s="19" t="s">
        <v>83</v>
      </c>
      <c r="B29" s="32">
        <f>MAX(B6:B28)</f>
        <v>51.8</v>
      </c>
      <c r="C29" s="32">
        <f t="shared" ref="C29:F29" si="3">MAX(C6:C28)</f>
        <v>156.4</v>
      </c>
      <c r="D29" s="32">
        <f t="shared" si="3"/>
        <v>93.1</v>
      </c>
      <c r="E29" s="32">
        <f t="shared" si="3"/>
        <v>188.1</v>
      </c>
      <c r="F29" s="32">
        <f t="shared" si="3"/>
        <v>93.1</v>
      </c>
      <c r="H29" s="1"/>
      <c r="I29" s="1"/>
      <c r="J29" s="1"/>
    </row>
    <row r="30" spans="1:10" ht="14.4" x14ac:dyDescent="0.3">
      <c r="A30" s="19" t="s">
        <v>84</v>
      </c>
      <c r="B30" s="32">
        <f>AVERAGE(B6:B27)</f>
        <v>20.827272727272728</v>
      </c>
      <c r="C30" s="32">
        <f t="shared" ref="C30:F30" si="4">AVERAGE(C6:C27)</f>
        <v>59.586363636363643</v>
      </c>
      <c r="D30" s="32">
        <f t="shared" si="4"/>
        <v>36.604545454545452</v>
      </c>
      <c r="E30" s="32">
        <f t="shared" si="4"/>
        <v>72.581818181818178</v>
      </c>
      <c r="F30" s="32">
        <f t="shared" si="4"/>
        <v>36.604545454545452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Q57"/>
  <sheetViews>
    <sheetView topLeftCell="A49" zoomScale="92" zoomScaleNormal="100" workbookViewId="0">
      <selection activeCell="E68" sqref="E6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7" s="36" customFormat="1" ht="21" x14ac:dyDescent="0.4">
      <c r="A1" s="37" t="s">
        <v>56</v>
      </c>
      <c r="B1" s="36" t="s">
        <v>162</v>
      </c>
    </row>
    <row r="2" spans="1:17" customFormat="1" ht="13.2" x14ac:dyDescent="0.25"/>
    <row r="3" spans="1:17" s="2" customFormat="1" x14ac:dyDescent="0.3">
      <c r="B3" s="1"/>
    </row>
    <row r="4" spans="1:17" s="2" customFormat="1" x14ac:dyDescent="0.3">
      <c r="B4" s="1"/>
    </row>
    <row r="5" spans="1:17" ht="18" x14ac:dyDescent="0.35">
      <c r="A5" s="38" t="s">
        <v>53</v>
      </c>
      <c r="B5" s="44" t="s">
        <v>164</v>
      </c>
      <c r="C5" s="44"/>
      <c r="D5" s="44"/>
      <c r="E5" s="44"/>
      <c r="F5" s="44"/>
      <c r="G5" s="44"/>
      <c r="H5" s="44"/>
    </row>
    <row r="6" spans="1:17" ht="18" x14ac:dyDescent="0.35">
      <c r="A6" s="38" t="s">
        <v>147</v>
      </c>
      <c r="B6" s="44" t="s">
        <v>167</v>
      </c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</row>
    <row r="7" spans="1:17" ht="18" x14ac:dyDescent="0.35">
      <c r="A7" s="38"/>
      <c r="B7" s="44" t="s">
        <v>165</v>
      </c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</row>
    <row r="8" spans="1:17" ht="18" x14ac:dyDescent="0.35">
      <c r="A8" s="38"/>
      <c r="B8" s="44" t="s">
        <v>166</v>
      </c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17" ht="18" x14ac:dyDescent="0.35">
      <c r="A9" s="38"/>
      <c r="B9" s="44" t="s">
        <v>169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8" x14ac:dyDescent="0.35">
      <c r="A10" s="38"/>
      <c r="B10" s="44" t="s">
        <v>168</v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</row>
    <row r="12" spans="1:17" ht="23.4" x14ac:dyDescent="0.45">
      <c r="A12" s="18" t="s">
        <v>158</v>
      </c>
      <c r="I12" s="2"/>
      <c r="J12" s="2"/>
    </row>
    <row r="13" spans="1:17" x14ac:dyDescent="0.3">
      <c r="A13" s="34" t="s">
        <v>102</v>
      </c>
      <c r="B13" s="17" t="s">
        <v>49</v>
      </c>
      <c r="C13" s="17" t="s">
        <v>50</v>
      </c>
      <c r="D13" s="17" t="s">
        <v>51</v>
      </c>
      <c r="E13" s="17" t="s">
        <v>52</v>
      </c>
      <c r="F13" s="17" t="s">
        <v>54</v>
      </c>
      <c r="I13" s="2"/>
      <c r="J13" s="2"/>
    </row>
    <row r="14" spans="1:17" x14ac:dyDescent="0.3">
      <c r="A14" s="9" t="s">
        <v>117</v>
      </c>
      <c r="B14" s="13">
        <v>20000</v>
      </c>
      <c r="C14" s="13" t="s">
        <v>5</v>
      </c>
      <c r="D14" s="13">
        <v>0</v>
      </c>
      <c r="E14" s="11" t="s">
        <v>6</v>
      </c>
      <c r="F14" s="11">
        <v>24</v>
      </c>
      <c r="I14" s="2"/>
      <c r="J14" s="2"/>
    </row>
    <row r="17" spans="1:6" ht="23.4" x14ac:dyDescent="0.45">
      <c r="A17" s="18" t="s">
        <v>155</v>
      </c>
    </row>
    <row r="18" spans="1:6" x14ac:dyDescent="0.3">
      <c r="A18" s="14" t="s">
        <v>103</v>
      </c>
      <c r="B18" s="17" t="s">
        <v>49</v>
      </c>
      <c r="C18" s="15" t="s">
        <v>50</v>
      </c>
      <c r="D18" s="17" t="s">
        <v>51</v>
      </c>
      <c r="E18" s="15" t="s">
        <v>52</v>
      </c>
      <c r="F18" s="17" t="s">
        <v>54</v>
      </c>
    </row>
    <row r="19" spans="1:6" x14ac:dyDescent="0.3">
      <c r="A19" s="7" t="s">
        <v>117</v>
      </c>
      <c r="B19" s="12">
        <v>20000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118</v>
      </c>
      <c r="B20" s="12">
        <v>20002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119</v>
      </c>
      <c r="B21" s="12">
        <v>20004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120</v>
      </c>
      <c r="B22" s="12">
        <v>20006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121</v>
      </c>
      <c r="B23" s="12">
        <v>20008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122</v>
      </c>
      <c r="B24" s="12">
        <v>20010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123</v>
      </c>
      <c r="B25" s="12">
        <v>20012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124</v>
      </c>
      <c r="B26" s="12">
        <v>20014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125</v>
      </c>
      <c r="B27" s="12">
        <v>20016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126</v>
      </c>
      <c r="B28" s="12">
        <v>20018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127</v>
      </c>
      <c r="B29" s="12">
        <v>20020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128</v>
      </c>
      <c r="B30" s="12">
        <v>20022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129</v>
      </c>
      <c r="B31" s="12">
        <v>20024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130</v>
      </c>
      <c r="B32" s="12">
        <v>20026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131</v>
      </c>
      <c r="B33" s="12">
        <v>20028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132</v>
      </c>
      <c r="B34" s="12">
        <v>20030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133</v>
      </c>
      <c r="B35" s="12">
        <v>20032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134</v>
      </c>
      <c r="B36" s="12">
        <v>20034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135</v>
      </c>
      <c r="B37" s="12">
        <v>20036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136</v>
      </c>
      <c r="B38" s="12">
        <v>20038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137</v>
      </c>
      <c r="B39" s="12">
        <v>20040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138</v>
      </c>
      <c r="B40" s="12">
        <v>20042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139</v>
      </c>
      <c r="B41" s="12">
        <v>20044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140</v>
      </c>
      <c r="B42" s="12">
        <v>20046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141</v>
      </c>
      <c r="B43" s="12">
        <v>20048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142</v>
      </c>
      <c r="B44" s="12">
        <v>20050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143</v>
      </c>
      <c r="B45" s="12">
        <v>20052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144</v>
      </c>
      <c r="B46" s="12">
        <v>20054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145</v>
      </c>
      <c r="B47" s="12">
        <v>20056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146</v>
      </c>
      <c r="B48" s="12">
        <v>20058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108</v>
      </c>
      <c r="B49" s="12">
        <v>20060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109</v>
      </c>
      <c r="B50" s="12">
        <v>20062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110</v>
      </c>
      <c r="B51" s="12">
        <v>20064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111</v>
      </c>
      <c r="B52" s="12">
        <v>20066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112</v>
      </c>
      <c r="B53" s="12">
        <v>20068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7" t="s">
        <v>113</v>
      </c>
      <c r="B54" s="12">
        <v>20070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3">
      <c r="A55" s="7" t="s">
        <v>114</v>
      </c>
      <c r="B55" s="12">
        <v>20072</v>
      </c>
      <c r="C55" s="1" t="s">
        <v>5</v>
      </c>
      <c r="D55" s="12">
        <v>0</v>
      </c>
      <c r="E55" s="1" t="s">
        <v>6</v>
      </c>
      <c r="F55" s="12">
        <v>24</v>
      </c>
    </row>
    <row r="56" spans="1:6" x14ac:dyDescent="0.3">
      <c r="A56" s="7" t="s">
        <v>115</v>
      </c>
      <c r="B56" s="12">
        <v>20074</v>
      </c>
      <c r="C56" s="1" t="s">
        <v>5</v>
      </c>
      <c r="D56" s="12">
        <v>0</v>
      </c>
      <c r="E56" s="1" t="s">
        <v>6</v>
      </c>
      <c r="F56" s="12">
        <v>24</v>
      </c>
    </row>
    <row r="57" spans="1:6" x14ac:dyDescent="0.3">
      <c r="A57" s="9" t="s">
        <v>116</v>
      </c>
      <c r="B57" s="12">
        <v>20076</v>
      </c>
      <c r="C57" s="1" t="s">
        <v>5</v>
      </c>
      <c r="D57" s="12">
        <v>0</v>
      </c>
      <c r="E57" s="1" t="s">
        <v>6</v>
      </c>
      <c r="F57" s="12">
        <v>24</v>
      </c>
    </row>
  </sheetData>
  <mergeCells count="6">
    <mergeCell ref="B10:O10"/>
    <mergeCell ref="B9:Q9"/>
    <mergeCell ref="B5:H5"/>
    <mergeCell ref="B6:O6"/>
    <mergeCell ref="B7:O7"/>
    <mergeCell ref="B8:O8"/>
  </mergeCells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K22"/>
  <sheetViews>
    <sheetView topLeftCell="A27" zoomScale="135" zoomScaleNormal="100" workbookViewId="0">
      <selection activeCell="B4" sqref="B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1" ht="21" x14ac:dyDescent="0.4">
      <c r="A1" s="37" t="s">
        <v>85</v>
      </c>
      <c r="B1" s="36" t="s">
        <v>160</v>
      </c>
    </row>
    <row r="2" spans="1:11" ht="18" x14ac:dyDescent="0.35">
      <c r="B2" s="35" t="s">
        <v>159</v>
      </c>
    </row>
    <row r="5" spans="1:11" ht="14.4" x14ac:dyDescent="0.3">
      <c r="B5" s="1"/>
    </row>
    <row r="6" spans="1:11" ht="14.4" x14ac:dyDescent="0.3">
      <c r="A6" s="3" t="s">
        <v>53</v>
      </c>
      <c r="B6" s="1" t="s">
        <v>170</v>
      </c>
    </row>
    <row r="7" spans="1:11" ht="14.4" x14ac:dyDescent="0.3">
      <c r="A7" s="3" t="s">
        <v>147</v>
      </c>
      <c r="B7" s="45" t="s">
        <v>171</v>
      </c>
      <c r="C7" s="45"/>
      <c r="D7" s="45"/>
      <c r="E7" s="45"/>
      <c r="F7" s="45"/>
      <c r="G7" s="45"/>
      <c r="H7" s="45"/>
      <c r="I7" s="45"/>
      <c r="J7" s="45"/>
      <c r="K7" s="45"/>
    </row>
    <row r="8" spans="1:11" x14ac:dyDescent="0.3">
      <c r="B8" s="45"/>
      <c r="C8" s="45"/>
      <c r="D8" s="45"/>
      <c r="E8" s="45"/>
      <c r="F8" s="45"/>
      <c r="G8" s="45"/>
      <c r="H8" s="45"/>
      <c r="I8" s="45"/>
      <c r="J8" s="45"/>
      <c r="K8" s="45"/>
    </row>
    <row r="10" spans="1:11" ht="23.4" x14ac:dyDescent="0.45">
      <c r="A10" s="18" t="s">
        <v>155</v>
      </c>
    </row>
    <row r="11" spans="1:11" ht="14.4" x14ac:dyDescent="0.3">
      <c r="A11" s="33" t="s">
        <v>86</v>
      </c>
      <c r="B11" s="17" t="s">
        <v>87</v>
      </c>
      <c r="C11" s="17" t="s">
        <v>88</v>
      </c>
      <c r="D11" s="17" t="s">
        <v>179</v>
      </c>
    </row>
    <row r="12" spans="1:11" ht="14.4" x14ac:dyDescent="0.3">
      <c r="A12" s="33">
        <v>44927</v>
      </c>
      <c r="B12" s="17" t="s">
        <v>59</v>
      </c>
      <c r="C12" s="17">
        <v>200</v>
      </c>
      <c r="D12" s="17">
        <v>200</v>
      </c>
    </row>
    <row r="13" spans="1:11" ht="14.4" x14ac:dyDescent="0.3">
      <c r="A13" s="33">
        <v>44928</v>
      </c>
      <c r="B13" s="17" t="s">
        <v>60</v>
      </c>
      <c r="C13" s="17" t="e">
        <v>#N/A</v>
      </c>
      <c r="D13" s="17">
        <v>20</v>
      </c>
    </row>
    <row r="14" spans="1:11" ht="14.4" x14ac:dyDescent="0.3">
      <c r="A14" s="33">
        <v>44929</v>
      </c>
      <c r="B14" s="17" t="s">
        <v>61</v>
      </c>
      <c r="C14" s="17">
        <v>50</v>
      </c>
      <c r="D14" s="17">
        <v>50</v>
      </c>
    </row>
    <row r="15" spans="1:11" ht="14.4" x14ac:dyDescent="0.3">
      <c r="A15" s="33">
        <v>44930</v>
      </c>
      <c r="B15" s="17" t="s">
        <v>62</v>
      </c>
      <c r="C15" s="17" t="e">
        <v>#N/A</v>
      </c>
      <c r="D15" s="17">
        <v>20</v>
      </c>
    </row>
    <row r="16" spans="1:11" ht="14.4" x14ac:dyDescent="0.3">
      <c r="A16" s="33">
        <v>44931</v>
      </c>
      <c r="B16" s="17" t="s">
        <v>63</v>
      </c>
      <c r="C16" s="17">
        <v>10</v>
      </c>
      <c r="D16" s="17">
        <v>10</v>
      </c>
    </row>
    <row r="17" spans="1:4" ht="14.4" x14ac:dyDescent="0.3">
      <c r="A17" s="33">
        <v>44932</v>
      </c>
      <c r="B17" s="17" t="s">
        <v>148</v>
      </c>
      <c r="C17" s="17">
        <v>150</v>
      </c>
      <c r="D17" s="17">
        <v>150</v>
      </c>
    </row>
    <row r="18" spans="1:4" ht="14.4" x14ac:dyDescent="0.3">
      <c r="A18" s="33">
        <v>44933</v>
      </c>
      <c r="B18" s="17" t="s">
        <v>149</v>
      </c>
      <c r="C18" s="17">
        <v>80</v>
      </c>
      <c r="D18" s="17">
        <v>80</v>
      </c>
    </row>
    <row r="19" spans="1:4" ht="14.4" x14ac:dyDescent="0.3">
      <c r="A19" s="33">
        <v>44934</v>
      </c>
      <c r="B19" s="17" t="s">
        <v>150</v>
      </c>
      <c r="C19" s="17" t="e">
        <v>#N/A</v>
      </c>
      <c r="D19" s="17">
        <v>20</v>
      </c>
    </row>
    <row r="20" spans="1:4" ht="14.4" x14ac:dyDescent="0.3">
      <c r="A20" s="33">
        <v>44935</v>
      </c>
      <c r="B20" s="17" t="s">
        <v>151</v>
      </c>
      <c r="C20" s="17">
        <v>30</v>
      </c>
      <c r="D20" s="17">
        <v>30</v>
      </c>
    </row>
    <row r="21" spans="1:4" ht="14.4" x14ac:dyDescent="0.3">
      <c r="A21" s="33">
        <v>44936</v>
      </c>
      <c r="B21" s="17" t="s">
        <v>152</v>
      </c>
      <c r="C21" s="17" t="e">
        <v>#N/A</v>
      </c>
      <c r="D21" s="17">
        <v>20</v>
      </c>
    </row>
    <row r="22" spans="1:4" ht="14.4" x14ac:dyDescent="0.3">
      <c r="C22" s="17" t="s">
        <v>153</v>
      </c>
      <c r="D22" s="25">
        <f>SUM(D12:D21)</f>
        <v>600</v>
      </c>
    </row>
  </sheetData>
  <mergeCells count="1">
    <mergeCell ref="B7:K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7"/>
  <sheetViews>
    <sheetView zoomScale="116" zoomScaleNormal="100" workbookViewId="0">
      <selection activeCell="E10" sqref="E10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10.77734375" style="2" customWidth="1"/>
    <col min="4" max="5" width="11" style="2"/>
    <col min="6" max="6" width="25.77734375" style="2" bestFit="1" customWidth="1"/>
    <col min="7" max="16384" width="11" style="2"/>
  </cols>
  <sheetData>
    <row r="1" spans="1:14" ht="21" x14ac:dyDescent="0.4">
      <c r="A1" s="37" t="s">
        <v>98</v>
      </c>
      <c r="B1" s="36" t="s">
        <v>163</v>
      </c>
    </row>
    <row r="3" spans="1:14" ht="14.4" x14ac:dyDescent="0.3">
      <c r="B3" s="1"/>
    </row>
    <row r="4" spans="1:14" ht="18" x14ac:dyDescent="0.35">
      <c r="A4" s="38" t="s">
        <v>53</v>
      </c>
      <c r="B4" s="1"/>
      <c r="C4" s="46" t="s">
        <v>172</v>
      </c>
      <c r="D4" s="46"/>
      <c r="E4" s="46"/>
      <c r="F4" s="46"/>
      <c r="G4" s="46"/>
      <c r="H4" s="46"/>
      <c r="I4" s="46"/>
      <c r="J4" s="46"/>
    </row>
    <row r="5" spans="1:14" ht="18" x14ac:dyDescent="0.35">
      <c r="A5" s="38" t="s">
        <v>147</v>
      </c>
      <c r="B5" s="1"/>
      <c r="C5" s="46" t="s">
        <v>174</v>
      </c>
      <c r="D5" s="46"/>
      <c r="E5" s="46"/>
      <c r="F5" s="46"/>
      <c r="G5" s="46"/>
      <c r="H5" s="46"/>
      <c r="I5" s="46"/>
      <c r="J5" s="46"/>
    </row>
    <row r="6" spans="1:14" ht="14.4" x14ac:dyDescent="0.3">
      <c r="A6" s="3"/>
      <c r="B6" s="1"/>
      <c r="C6" s="46" t="s">
        <v>173</v>
      </c>
      <c r="D6" s="46"/>
      <c r="E6" s="46"/>
      <c r="F6" s="46"/>
      <c r="G6" s="46"/>
      <c r="H6" s="46"/>
      <c r="I6" s="46"/>
      <c r="J6" s="46"/>
    </row>
    <row r="7" spans="1:14" ht="14.4" x14ac:dyDescent="0.3">
      <c r="A7" s="3"/>
      <c r="B7" s="1"/>
      <c r="C7" s="46" t="s">
        <v>175</v>
      </c>
      <c r="D7" s="46"/>
      <c r="E7" s="46"/>
      <c r="F7" s="46"/>
      <c r="G7" s="46"/>
      <c r="H7" s="46"/>
      <c r="I7" s="46"/>
      <c r="J7" s="46"/>
    </row>
    <row r="8" spans="1:14" ht="14.4" x14ac:dyDescent="0.3">
      <c r="A8" s="3"/>
      <c r="B8" s="1"/>
      <c r="C8" s="46" t="s">
        <v>176</v>
      </c>
      <c r="D8" s="46"/>
      <c r="E8" s="46"/>
      <c r="F8" s="46"/>
      <c r="G8" s="46"/>
      <c r="H8" s="46"/>
      <c r="I8" s="46"/>
      <c r="J8" s="46"/>
    </row>
    <row r="10" spans="1:14" ht="23.4" x14ac:dyDescent="0.45">
      <c r="A10" s="18" t="s">
        <v>155</v>
      </c>
      <c r="M10" s="18" t="s">
        <v>156</v>
      </c>
    </row>
    <row r="11" spans="1:14" ht="14.4" x14ac:dyDescent="0.3">
      <c r="A11" s="26"/>
      <c r="B11" s="26" t="s">
        <v>89</v>
      </c>
      <c r="C11" s="26" t="s">
        <v>90</v>
      </c>
      <c r="D11" s="26" t="s">
        <v>91</v>
      </c>
      <c r="E11" s="26" t="s">
        <v>92</v>
      </c>
      <c r="F11" s="26" t="s">
        <v>93</v>
      </c>
      <c r="G11" s="26" t="s">
        <v>94</v>
      </c>
      <c r="H11" s="26" t="s">
        <v>95</v>
      </c>
      <c r="I11" s="26" t="s">
        <v>96</v>
      </c>
      <c r="J11" s="26" t="s">
        <v>97</v>
      </c>
      <c r="M11" s="19" t="s">
        <v>43</v>
      </c>
      <c r="N11" s="19" t="s">
        <v>99</v>
      </c>
    </row>
    <row r="12" spans="1:14" ht="14.4" x14ac:dyDescent="0.3">
      <c r="A12" s="26" t="s">
        <v>89</v>
      </c>
      <c r="B12" s="25">
        <v>-1</v>
      </c>
      <c r="C12" s="25">
        <v>95</v>
      </c>
      <c r="D12" s="25">
        <v>-1</v>
      </c>
      <c r="E12" s="25">
        <v>185</v>
      </c>
      <c r="F12" s="25">
        <v>255</v>
      </c>
      <c r="G12" s="25">
        <v>305</v>
      </c>
      <c r="H12" s="25">
        <v>415</v>
      </c>
      <c r="I12" s="25">
        <v>480</v>
      </c>
      <c r="J12" s="25">
        <v>525</v>
      </c>
      <c r="M12" s="12">
        <v>10100</v>
      </c>
      <c r="N12" s="12" t="s">
        <v>89</v>
      </c>
    </row>
    <row r="13" spans="1:14" ht="14.4" x14ac:dyDescent="0.3">
      <c r="A13" s="26" t="s">
        <v>90</v>
      </c>
      <c r="B13" s="25">
        <v>95</v>
      </c>
      <c r="C13" s="25">
        <v>-1</v>
      </c>
      <c r="D13" s="25">
        <v>-1</v>
      </c>
      <c r="E13" s="25">
        <v>90</v>
      </c>
      <c r="F13" s="25">
        <v>160</v>
      </c>
      <c r="G13" s="25">
        <v>210</v>
      </c>
      <c r="H13" s="25">
        <v>325</v>
      </c>
      <c r="I13" s="25">
        <v>390</v>
      </c>
      <c r="J13" s="25">
        <v>430</v>
      </c>
      <c r="M13" s="12">
        <v>10102</v>
      </c>
      <c r="N13" s="12" t="s">
        <v>90</v>
      </c>
    </row>
    <row r="14" spans="1:14" ht="14.4" x14ac:dyDescent="0.3">
      <c r="A14" s="26" t="s">
        <v>91</v>
      </c>
      <c r="B14" s="25">
        <v>-1</v>
      </c>
      <c r="C14" s="25">
        <v>-1</v>
      </c>
      <c r="D14" s="25">
        <v>-1</v>
      </c>
      <c r="E14" s="25">
        <v>60</v>
      </c>
      <c r="F14" s="25">
        <v>130</v>
      </c>
      <c r="G14" s="25">
        <v>180</v>
      </c>
      <c r="H14" s="25">
        <v>295</v>
      </c>
      <c r="I14" s="25">
        <v>355</v>
      </c>
      <c r="J14" s="25">
        <v>400</v>
      </c>
      <c r="M14" s="12">
        <v>10104</v>
      </c>
      <c r="N14" s="12" t="s">
        <v>91</v>
      </c>
    </row>
    <row r="15" spans="1:14" ht="14.4" x14ac:dyDescent="0.3">
      <c r="A15" s="26" t="s">
        <v>92</v>
      </c>
      <c r="B15" s="25">
        <v>185</v>
      </c>
      <c r="C15" s="25">
        <v>90</v>
      </c>
      <c r="D15" s="25">
        <v>60</v>
      </c>
      <c r="E15" s="25">
        <v>-1</v>
      </c>
      <c r="F15" s="25">
        <v>70</v>
      </c>
      <c r="G15" s="25">
        <v>120</v>
      </c>
      <c r="H15" s="25">
        <v>235</v>
      </c>
      <c r="I15" s="25">
        <v>300</v>
      </c>
      <c r="J15" s="25">
        <v>340</v>
      </c>
      <c r="M15" s="12">
        <v>10106</v>
      </c>
      <c r="N15" s="12" t="s">
        <v>92</v>
      </c>
    </row>
    <row r="16" spans="1:14" ht="14.4" x14ac:dyDescent="0.3">
      <c r="A16" s="26" t="s">
        <v>93</v>
      </c>
      <c r="B16" s="25">
        <v>255</v>
      </c>
      <c r="C16" s="25">
        <v>160</v>
      </c>
      <c r="D16" s="25">
        <v>130</v>
      </c>
      <c r="E16" s="25">
        <v>70</v>
      </c>
      <c r="F16" s="25">
        <v>-1</v>
      </c>
      <c r="G16" s="25">
        <v>50</v>
      </c>
      <c r="H16" s="25">
        <v>165</v>
      </c>
      <c r="I16" s="25">
        <v>230</v>
      </c>
      <c r="J16" s="25">
        <v>270</v>
      </c>
      <c r="M16" s="12">
        <v>10108</v>
      </c>
      <c r="N16" s="12" t="s">
        <v>93</v>
      </c>
    </row>
    <row r="17" spans="1:14" ht="14.4" x14ac:dyDescent="0.3">
      <c r="A17" s="26" t="s">
        <v>94</v>
      </c>
      <c r="B17" s="25">
        <v>305</v>
      </c>
      <c r="C17" s="25">
        <v>210</v>
      </c>
      <c r="D17" s="25">
        <v>180</v>
      </c>
      <c r="E17" s="25">
        <v>120</v>
      </c>
      <c r="F17" s="25">
        <v>50</v>
      </c>
      <c r="G17" s="25">
        <v>-1</v>
      </c>
      <c r="H17" s="25">
        <v>115</v>
      </c>
      <c r="I17" s="25">
        <v>180</v>
      </c>
      <c r="J17" s="25">
        <v>220</v>
      </c>
      <c r="M17" s="12">
        <v>10110</v>
      </c>
      <c r="N17" s="12" t="s">
        <v>94</v>
      </c>
    </row>
    <row r="18" spans="1:14" ht="14.4" x14ac:dyDescent="0.3">
      <c r="A18" s="26" t="s">
        <v>95</v>
      </c>
      <c r="B18" s="25">
        <v>415</v>
      </c>
      <c r="C18" s="25">
        <v>325</v>
      </c>
      <c r="D18" s="25">
        <v>295</v>
      </c>
      <c r="E18" s="25">
        <v>235</v>
      </c>
      <c r="F18" s="25">
        <v>165</v>
      </c>
      <c r="G18" s="25">
        <v>115</v>
      </c>
      <c r="H18" s="25">
        <v>-1</v>
      </c>
      <c r="I18" s="25">
        <v>65</v>
      </c>
      <c r="J18" s="25">
        <v>105</v>
      </c>
      <c r="M18" s="12">
        <v>10112</v>
      </c>
      <c r="N18" s="12" t="s">
        <v>95</v>
      </c>
    </row>
    <row r="19" spans="1:14" ht="14.4" x14ac:dyDescent="0.3">
      <c r="A19" s="26" t="s">
        <v>96</v>
      </c>
      <c r="B19" s="25">
        <v>480</v>
      </c>
      <c r="C19" s="25">
        <v>390</v>
      </c>
      <c r="D19" s="25">
        <v>355</v>
      </c>
      <c r="E19" s="25">
        <v>300</v>
      </c>
      <c r="F19" s="25">
        <v>230</v>
      </c>
      <c r="G19" s="25">
        <v>180</v>
      </c>
      <c r="H19" s="25">
        <v>65</v>
      </c>
      <c r="I19" s="25">
        <v>-1</v>
      </c>
      <c r="J19" s="25">
        <v>40</v>
      </c>
      <c r="M19" s="12">
        <v>10114</v>
      </c>
      <c r="N19" s="12" t="s">
        <v>96</v>
      </c>
    </row>
    <row r="20" spans="1:14" ht="14.4" x14ac:dyDescent="0.3">
      <c r="A20" s="26" t="s">
        <v>97</v>
      </c>
      <c r="B20" s="25">
        <v>525</v>
      </c>
      <c r="C20" s="25">
        <v>430</v>
      </c>
      <c r="D20" s="25">
        <v>400</v>
      </c>
      <c r="E20" s="25">
        <v>340</v>
      </c>
      <c r="F20" s="25">
        <v>270</v>
      </c>
      <c r="G20" s="25">
        <v>220</v>
      </c>
      <c r="H20" s="25">
        <v>105</v>
      </c>
      <c r="I20" s="25">
        <v>40</v>
      </c>
      <c r="J20" s="25">
        <v>-1</v>
      </c>
      <c r="M20" s="13">
        <v>10116</v>
      </c>
      <c r="N20" s="13" t="s">
        <v>97</v>
      </c>
    </row>
    <row r="23" spans="1:14" ht="23.4" x14ac:dyDescent="0.45">
      <c r="A23" s="18" t="s">
        <v>161</v>
      </c>
    </row>
    <row r="24" spans="1:14" ht="14.4" x14ac:dyDescent="0.3">
      <c r="A24" s="14" t="s">
        <v>100</v>
      </c>
      <c r="B24" s="17" t="s">
        <v>101</v>
      </c>
      <c r="C24" s="16" t="s">
        <v>102</v>
      </c>
    </row>
    <row r="25" spans="1:14" ht="14.4" x14ac:dyDescent="0.3">
      <c r="A25" s="7">
        <v>10100</v>
      </c>
      <c r="B25" s="12">
        <v>10102</v>
      </c>
      <c r="C25" s="2">
        <f>INDEX($B$12:$J$20,MATCH(VLOOKUP(A25,$M$12:$N$20,2),$A$12:$A$20,0),MATCH(VLOOKUP(B25,$M$12:$N$20,2),$B$11:$J$11,0))</f>
        <v>95</v>
      </c>
    </row>
    <row r="26" spans="1:14" ht="14.4" x14ac:dyDescent="0.3">
      <c r="A26" s="7">
        <v>10100</v>
      </c>
      <c r="B26" s="12">
        <v>10104</v>
      </c>
      <c r="C26" s="2">
        <f>INDEX($B$12:$J$20,MATCH(VLOOKUP(A26,$M$12:$N$20,2),$A$12:$A$20,0),MATCH(VLOOKUP(B26,$M$12:$N$20,2),$B$11:$J$11,0))</f>
        <v>-1</v>
      </c>
    </row>
    <row r="27" spans="1:14" ht="14.4" x14ac:dyDescent="0.3">
      <c r="A27" s="7">
        <v>10108</v>
      </c>
      <c r="B27" s="12">
        <v>10102</v>
      </c>
      <c r="C27" s="2">
        <f>INDEX($B$12:$J$20,MATCH(VLOOKUP(A27,$M$12:$N$20,2),$A$12:$A$20,0),MATCH(VLOOKUP(B27,$M$12:$N$20,2),$B$11:$J$11,0))</f>
        <v>160</v>
      </c>
    </row>
    <row r="28" spans="1:14" ht="14.4" x14ac:dyDescent="0.3">
      <c r="A28" s="7">
        <v>10100</v>
      </c>
      <c r="B28" s="12">
        <v>10106</v>
      </c>
      <c r="C28" s="2">
        <f>INDEX($B$12:$J$20,MATCH(VLOOKUP(A28,$M$12:$N$20,2),$A$12:$A$20,0),MATCH(VLOOKUP(B28,$M$12:$N$20,2),$B$11:$J$11,0))</f>
        <v>185</v>
      </c>
    </row>
    <row r="29" spans="1:14" ht="14.4" x14ac:dyDescent="0.3">
      <c r="A29" s="7">
        <v>10108</v>
      </c>
      <c r="B29" s="12">
        <v>10110</v>
      </c>
      <c r="C29" s="2">
        <f>INDEX($B$12:$J$20,MATCH(VLOOKUP(A29,$M$12:$N$20,2),$A$12:$A$20,0),MATCH(VLOOKUP(B29,$M$12:$N$20,2),$B$11:$J$11,0))</f>
        <v>50</v>
      </c>
    </row>
    <row r="30" spans="1:14" ht="14.4" x14ac:dyDescent="0.3">
      <c r="A30" s="7">
        <v>10102</v>
      </c>
      <c r="B30" s="12">
        <v>10104</v>
      </c>
      <c r="C30" s="2">
        <f>INDEX($B$12:$J$20,MATCH(VLOOKUP(A30,$M$12:$N$20,2),$A$12:$A$20,0),MATCH(VLOOKUP(B30,$M$12:$N$20,2),$B$11:$J$11,0))</f>
        <v>-1</v>
      </c>
    </row>
    <row r="31" spans="1:14" ht="14.4" x14ac:dyDescent="0.3">
      <c r="A31" s="7">
        <v>10106</v>
      </c>
      <c r="B31" s="12">
        <v>10108</v>
      </c>
      <c r="C31" s="2">
        <f>INDEX($B$12:$J$20,MATCH(VLOOKUP(A31,$M$12:$N$20,2),$A$12:$A$20,0),MATCH(VLOOKUP(B31,$M$12:$N$20,2),$B$11:$J$11,0))</f>
        <v>70</v>
      </c>
    </row>
    <row r="32" spans="1:14" ht="14.4" x14ac:dyDescent="0.3">
      <c r="A32" s="7">
        <v>10102</v>
      </c>
      <c r="B32" s="12">
        <v>10106</v>
      </c>
      <c r="C32" s="2">
        <f>INDEX($B$12:$J$20,MATCH(VLOOKUP(A32,$M$12:$N$20,2),$A$12:$A$20,0),MATCH(VLOOKUP(B32,$M$12:$N$20,2),$B$11:$J$11,0))</f>
        <v>90</v>
      </c>
    </row>
    <row r="33" spans="1:3" ht="14.4" x14ac:dyDescent="0.3">
      <c r="A33" s="7">
        <v>10110</v>
      </c>
      <c r="B33" s="12">
        <v>10114</v>
      </c>
      <c r="C33" s="2">
        <f>INDEX($B$12:$J$20,MATCH(VLOOKUP(A33,$M$12:$N$20,2),$A$12:$A$20,0),MATCH(VLOOKUP(B33,$M$12:$N$20,2),$B$11:$J$11,0))</f>
        <v>180</v>
      </c>
    </row>
    <row r="34" spans="1:3" ht="14.4" x14ac:dyDescent="0.3">
      <c r="A34" s="7">
        <v>10104</v>
      </c>
      <c r="B34" s="12">
        <v>10106</v>
      </c>
      <c r="C34" s="2">
        <f>INDEX($B$12:$J$20,MATCH(VLOOKUP(A34,$M$12:$N$20,2),$A$12:$A$20,0),MATCH(VLOOKUP(B34,$M$12:$N$20,2),$B$11:$J$11,0))</f>
        <v>60</v>
      </c>
    </row>
    <row r="35" spans="1:3" ht="14.4" x14ac:dyDescent="0.3">
      <c r="A35" s="7">
        <v>10110</v>
      </c>
      <c r="B35" s="12">
        <v>10112</v>
      </c>
      <c r="C35" s="2">
        <f>INDEX($B$12:$J$20,MATCH(VLOOKUP(A35,$M$12:$N$20,2),$A$12:$A$20,0),MATCH(VLOOKUP(B35,$M$12:$N$20,2),$B$11:$J$11,0))</f>
        <v>115</v>
      </c>
    </row>
    <row r="36" spans="1:3" ht="14.4" x14ac:dyDescent="0.3">
      <c r="A36" s="7">
        <v>10100</v>
      </c>
      <c r="B36" s="12">
        <v>10114</v>
      </c>
      <c r="C36" s="2">
        <f>INDEX($B$12:$J$20,MATCH(VLOOKUP(A36,$M$12:$N$20,2),$A$12:$A$20,0),MATCH(VLOOKUP(B36,$M$12:$N$20,2),$B$11:$J$11,0))</f>
        <v>480</v>
      </c>
    </row>
    <row r="37" spans="1:3" ht="14.4" x14ac:dyDescent="0.3">
      <c r="A37" s="9">
        <v>10112</v>
      </c>
      <c r="B37" s="13">
        <v>10116</v>
      </c>
      <c r="C37" s="2">
        <f>INDEX($B$12:$J$20,MATCH(VLOOKUP(A37,$M$12:$N$20,2),$A$12:$A$20,0),MATCH(VLOOKUP(B37,$M$12:$N$20,2),$B$11:$J$11,0))</f>
        <v>105</v>
      </c>
    </row>
  </sheetData>
  <mergeCells count="5">
    <mergeCell ref="C4:J4"/>
    <mergeCell ref="C5:J5"/>
    <mergeCell ref="C6:J6"/>
    <mergeCell ref="C7:J7"/>
    <mergeCell ref="C8:J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Olifiya Bhanga</cp:lastModifiedBy>
  <dcterms:created xsi:type="dcterms:W3CDTF">2015-02-10T17:33:11Z</dcterms:created>
  <dcterms:modified xsi:type="dcterms:W3CDTF">2023-12-10T13:26:40Z</dcterms:modified>
</cp:coreProperties>
</file>